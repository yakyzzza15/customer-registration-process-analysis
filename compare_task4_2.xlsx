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2240" windowHeight="47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2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<sst xmlns="http://schemas.openxmlformats.org/spreadsheetml/2006/main" count="30" uniqueCount="25">
  <si>
    <t>Персональные данные</t>
  </si>
  <si>
    <t>Идентификация паспортных данных</t>
  </si>
  <si>
    <t>Резидент или информация о нерезиденте</t>
  </si>
  <si>
    <t>Адреса</t>
  </si>
  <si>
    <t>Занятость</t>
  </si>
  <si>
    <t>Контактная информация</t>
  </si>
  <si>
    <t>ПУ и счета</t>
  </si>
  <si>
    <t>Заказ именных карт</t>
  </si>
  <si>
    <t>Моментальная выдача карты</t>
  </si>
  <si>
    <t>Проверка данных и подписание черновика</t>
  </si>
  <si>
    <t>Подписание анкеты</t>
  </si>
  <si>
    <t>Прикрепление документов</t>
  </si>
  <si>
    <t>Форма</t>
  </si>
  <si>
    <t>Январь</t>
  </si>
  <si>
    <t>Июль</t>
  </si>
  <si>
    <t>Разница</t>
  </si>
  <si>
    <t>%</t>
  </si>
  <si>
    <t>Вердикт</t>
  </si>
  <si>
    <t>улучшено</t>
  </si>
  <si>
    <t>нейтрально</t>
  </si>
  <si>
    <t>ухудшено</t>
  </si>
  <si>
    <t>сильно ухудшено</t>
  </si>
  <si>
    <t>сильно улучшено</t>
  </si>
  <si>
    <t>немного ухудшено</t>
  </si>
  <si>
    <t>значения близки к 0, форма автоматическая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</si>
</sst>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F11" sqref="F11"/>
    </sheetView>
  </sheetViews>
  <sheetFormatPr defaultRowHeight="15" x14ac:dyDescent="0.25"/>
  <cols>
    <col min="1" max="1" width="42.140625" customWidth="1"/>
    <col min="2" max="2" width="10.5703125" bestFit="1" customWidth="1"/>
    <col min="6" max="6" width="23.85546875" customWidth="1"/>
  </cols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0</v>
      </c>
      <c r="B2" s="1">
        <v>63.154000000000003</v>
      </c>
      <c r="C2" s="1">
        <v>60.913600000000002</v>
      </c>
      <c r="D2" s="1">
        <f>C2-B2</f>
        <v>-2.2404000000000011</v>
      </c>
      <c r="E2" s="1">
        <f>D2*100/B2</f>
        <v>-3.5475187636570937</v>
      </c>
      <c r="F2" t="s">
        <v>18</v>
      </c>
    </row>
    <row r="3" spans="1:6" x14ac:dyDescent="0.25">
      <c r="A3" t="s">
        <v>1</v>
      </c>
      <c r="B3" s="1">
        <v>9.4463000000000008</v>
      </c>
      <c r="C3" s="1">
        <v>9.5649999999999995</v>
      </c>
      <c r="D3" s="1">
        <f t="shared" ref="D3:D13" si="0">C3-B3</f>
        <v>0.1186999999999987</v>
      </c>
      <c r="E3" s="1">
        <f t="shared" ref="E3:E13" si="1">D3*100/B3</f>
        <v>1.2565766490583477</v>
      </c>
      <c r="F3" t="s">
        <v>19</v>
      </c>
    </row>
    <row r="4" spans="1:6" x14ac:dyDescent="0.25">
      <c r="A4" t="s">
        <v>2</v>
      </c>
      <c r="B4" s="1">
        <v>36.789000000000001</v>
      </c>
      <c r="C4" s="1">
        <v>42.722000000000001</v>
      </c>
      <c r="D4" s="1">
        <f t="shared" si="0"/>
        <v>5.9329999999999998</v>
      </c>
      <c r="E4" s="1">
        <f t="shared" si="1"/>
        <v>16.127103210198698</v>
      </c>
      <c r="F4" t="s">
        <v>20</v>
      </c>
    </row>
    <row r="5" spans="1:6" x14ac:dyDescent="0.25">
      <c r="A5" t="s">
        <v>3</v>
      </c>
      <c r="B5" s="1">
        <v>29.66</v>
      </c>
      <c r="C5" s="1">
        <v>27.279</v>
      </c>
      <c r="D5" s="1">
        <f t="shared" si="0"/>
        <v>-2.3810000000000002</v>
      </c>
      <c r="E5" s="1">
        <f t="shared" si="1"/>
        <v>-8.027646662171275</v>
      </c>
      <c r="F5" t="s">
        <v>18</v>
      </c>
    </row>
    <row r="6" spans="1:6" x14ac:dyDescent="0.25">
      <c r="A6" t="s">
        <v>4</v>
      </c>
      <c r="B6" s="1">
        <v>4.34</v>
      </c>
      <c r="C6" s="1">
        <v>3.9761000000000002</v>
      </c>
      <c r="D6" s="1">
        <f t="shared" si="0"/>
        <v>-0.36389999999999967</v>
      </c>
      <c r="E6" s="1">
        <f t="shared" si="1"/>
        <v>-8.3847926267281032</v>
      </c>
      <c r="F6" t="s">
        <v>18</v>
      </c>
    </row>
    <row r="7" spans="1:6" x14ac:dyDescent="0.25">
      <c r="A7" t="s">
        <v>5</v>
      </c>
      <c r="B7" s="1">
        <v>8.52</v>
      </c>
      <c r="C7" s="1">
        <v>13.268800000000001</v>
      </c>
      <c r="D7" s="1">
        <f t="shared" si="0"/>
        <v>4.748800000000001</v>
      </c>
      <c r="E7" s="1">
        <f t="shared" si="1"/>
        <v>55.73708920187795</v>
      </c>
      <c r="F7" t="s">
        <v>21</v>
      </c>
    </row>
    <row r="8" spans="1:6" x14ac:dyDescent="0.25">
      <c r="A8" t="s">
        <v>6</v>
      </c>
      <c r="B8" s="1">
        <v>31.1249</v>
      </c>
      <c r="C8" s="1">
        <v>9.1159999999999997</v>
      </c>
      <c r="D8" s="1">
        <f t="shared" si="0"/>
        <v>-22.008900000000001</v>
      </c>
      <c r="E8" s="1">
        <f t="shared" si="1"/>
        <v>-70.711552486915622</v>
      </c>
      <c r="F8" t="s">
        <v>22</v>
      </c>
    </row>
    <row r="9" spans="1:6" x14ac:dyDescent="0.25">
      <c r="A9" t="s">
        <v>7</v>
      </c>
      <c r="B9" s="1">
        <v>18.795999999999999</v>
      </c>
      <c r="C9" s="1">
        <v>23.434899999999999</v>
      </c>
      <c r="D9" s="1">
        <f t="shared" si="0"/>
        <v>4.6388999999999996</v>
      </c>
      <c r="E9" s="1">
        <f t="shared" si="1"/>
        <v>24.68025111725899</v>
      </c>
      <c r="F9" t="s">
        <v>20</v>
      </c>
    </row>
    <row r="10" spans="1:6" x14ac:dyDescent="0.25">
      <c r="A10" t="s">
        <v>8</v>
      </c>
      <c r="B10" s="1">
        <v>24.042999999999999</v>
      </c>
      <c r="C10" s="1">
        <v>14.018000000000001</v>
      </c>
      <c r="D10" s="1">
        <f t="shared" si="0"/>
        <v>-10.024999999999999</v>
      </c>
      <c r="E10" s="1">
        <f t="shared" si="1"/>
        <v>-41.696127771076817</v>
      </c>
      <c r="F10" t="s">
        <v>18</v>
      </c>
    </row>
    <row r="11" spans="1:6" x14ac:dyDescent="0.25">
      <c r="A11" t="s">
        <v>9</v>
      </c>
      <c r="B11" s="1">
        <v>86.007000000000005</v>
      </c>
      <c r="C11" s="1">
        <v>89.562200000000004</v>
      </c>
      <c r="D11" s="1">
        <f t="shared" si="0"/>
        <v>3.5551999999999992</v>
      </c>
      <c r="E11" s="1">
        <f t="shared" si="1"/>
        <v>4.1336170311718803</v>
      </c>
      <c r="F11" t="s">
        <v>23</v>
      </c>
    </row>
    <row r="12" spans="1:6" x14ac:dyDescent="0.25">
      <c r="A12" t="s">
        <v>10</v>
      </c>
      <c r="B12" s="1">
        <v>2.81E-2</v>
      </c>
      <c r="C12" s="1">
        <v>0.10929999999999999</v>
      </c>
      <c r="D12" s="1">
        <f t="shared" si="0"/>
        <v>8.1199999999999994E-2</v>
      </c>
      <c r="E12" s="1">
        <f t="shared" si="1"/>
        <v>288.96797153024909</v>
      </c>
      <c r="F12" t="s">
        <v>24</v>
      </c>
    </row>
    <row r="13" spans="1:6" x14ac:dyDescent="0.25">
      <c r="A13" t="s">
        <v>11</v>
      </c>
      <c r="B13" s="1">
        <v>94.486999999999995</v>
      </c>
      <c r="C13" s="1">
        <v>107.6348</v>
      </c>
      <c r="D13" s="1">
        <f t="shared" si="0"/>
        <v>13.147800000000004</v>
      </c>
      <c r="E13" s="1">
        <f t="shared" si="1"/>
        <v>13.914930096203715</v>
      </c>
      <c r="F13" t="s">
        <v>20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2026-09-26T22:13:46Z</dcterms:modified>
</cp:coreProperties>
</file>